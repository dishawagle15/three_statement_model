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ol Panel" sheetId="1" r:id="rId1"/>
    <sheet name="Historical Financials" sheetId="2" r:id="rId2"/>
    <sheet name="Assumptions" sheetId="3" r:id="rId3"/>
    <sheet name="Working Capital Schedule" sheetId="4" r:id="rId4"/>
    <sheet name="PPE Schedule" sheetId="5" r:id="rId5"/>
    <sheet name="Debt Schedule" sheetId="6" r:id="rId6"/>
    <sheet name="Projection Model" sheetId="7" r:id="rId7"/>
    <sheet name="Ratio Dashboard" sheetId="8" r:id="rId8"/>
  </sheets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b/>
      <sz val="14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4" fontId="0" fillId="0" borderId="0" xfId="0" applyNumberFormat="1"/>
    <xf numFmtId="10" fontId="0" fillId="0" borderId="0" xfId="0" applyNumberFormat="1"/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18" customWidth="1"/>
  </cols>
  <sheetData>
    <row r="1">
      <c r="A1" t="inlineStr" s="1">
        <is>
          <t>Three Statement Model - Control Panel</t>
        </is>
      </c>
    </row>
    <row r="3">
      <c r="A3" t="inlineStr" s="7">
        <is>
          <t>Scenario</t>
        </is>
      </c>
      <c r="B3" t="inlineStr">
        <is>
          <t>Base</t>
        </is>
      </c>
    </row>
    <row r="5">
      <c r="A5" t="inlineStr">
        <is>
          <t>Revenue Growth (FY2026E)</t>
        </is>
      </c>
      <c r="B5" s="5">
        <f>INDEX(Assumptions!$B$5:$F$7,MATCH(B3,Assumptions!$A$5:$A$7,0),1)</f>
        <v>0</v>
      </c>
    </row>
    <row r="6">
      <c r="A6" t="inlineStr">
        <is>
          <t>EBITDA Margin (FY2026E)</t>
        </is>
      </c>
      <c r="B6" s="5">
        <f>INDEX(Assumptions!$B$11:$F$13,MATCH(B3,Assumptions!$A$11:$A$13,0),1)</f>
        <v>0</v>
      </c>
    </row>
    <row r="7">
      <c r="A7" t="inlineStr">
        <is>
          <t>Capex % Revenue (FY2026E)</t>
        </is>
      </c>
      <c r="B7" s="5">
        <f>INDEX(Assumptions!$B$17:$F$19,MATCH(B3,Assumptions!$A$17:$A$19,0),1)</f>
        <v>0</v>
      </c>
    </row>
    <row r="8">
      <c r="A8" t="inlineStr">
        <is>
          <t>Receivables Days</t>
        </is>
      </c>
      <c r="B8" s="6">
        <f>Assumptions!B23</f>
        <v>0</v>
      </c>
    </row>
    <row r="9">
      <c r="A9" t="inlineStr">
        <is>
          <t>Inventory Days</t>
        </is>
      </c>
      <c r="B9" s="6">
        <f>Assumptions!B24</f>
        <v>0</v>
      </c>
    </row>
    <row r="10">
      <c r="A10" t="inlineStr">
        <is>
          <t>Payables Days</t>
        </is>
      </c>
      <c r="B10" s="6">
        <f>Assumptions!B25</f>
        <v>0</v>
      </c>
    </row>
    <row r="11">
      <c r="A11" t="inlineStr">
        <is>
          <t>Tax Rate</t>
        </is>
      </c>
      <c r="B11" s="5">
        <f>Assumptions!B26</f>
        <v>0</v>
      </c>
    </row>
    <row r="12">
      <c r="A12" t="inlineStr">
        <is>
          <t>Interest Rate</t>
        </is>
      </c>
      <c r="B12" s="5">
        <f>Assumptions!B27</f>
        <v>0</v>
      </c>
    </row>
    <row r="13">
      <c r="A13" t="inlineStr">
        <is>
          <t>Minimum Cash % Revenue</t>
        </is>
      </c>
      <c r="B13" s="5">
        <f>Assumptions!B28</f>
        <v>0</v>
      </c>
    </row>
    <row r="15">
      <c r="A15" t="inlineStr" s="7">
        <is>
          <t>Model checks</t>
        </is>
      </c>
    </row>
    <row r="16">
      <c r="A16" t="inlineStr">
        <is>
          <t>Latest Balance Check (FY2030E)</t>
        </is>
      </c>
      <c r="B16" s="4">
        <f>'Projection Model'!F28</f>
        <v>0</v>
      </c>
    </row>
  </sheetData>
  <dataValidations count="1">
    <dataValidation type="list" allowBlank="0" sqref="B3">
      <formula1>"Base,Bull,Bear"</formula1>
    </dataValidation>
  </dataValidations>
</worksheet>
</file>

<file path=xl/worksheets/sheet2.xml><?xml version="1.0" encoding="utf-8"?>
<worksheet xmlns="http://schemas.openxmlformats.org/spreadsheetml/2006/main">
  <cols>
    <col min="1" max="1" width="32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Financials (INR bn)</t>
        </is>
      </c>
    </row>
    <row r="3">
      <c r="B3" t="inlineStr" s="2">
        <is>
          <t>FY2023A</t>
        </is>
      </c>
      <c r="C3" t="inlineStr" s="2">
        <is>
          <t>FY2024A</t>
        </is>
      </c>
      <c r="D3" t="inlineStr" s="2">
        <is>
          <t>FY2025A</t>
        </is>
      </c>
    </row>
    <row r="4">
      <c r="A4" t="inlineStr" s="3">
        <is>
          <t>Income Statement</t>
        </is>
      </c>
    </row>
    <row r="5">
      <c r="A5" t="inlineStr">
        <is>
          <t>Revenue</t>
        </is>
      </c>
      <c r="B5" s="4">
        <v>974864</v>
      </c>
      <c r="C5" s="4">
        <v>1000122</v>
      </c>
      <c r="D5" s="4">
        <v>1071174</v>
      </c>
    </row>
    <row r="6">
      <c r="A6" t="inlineStr">
        <is>
          <t>COGS</t>
        </is>
      </c>
      <c r="B6" s="4">
        <v>601959</v>
      </c>
      <c r="C6" s="4">
        <v>598751</v>
      </c>
      <c r="D6" s="4">
        <v>645132</v>
      </c>
    </row>
    <row r="7">
      <c r="A7" t="inlineStr">
        <is>
          <t>Gross Profit</t>
        </is>
      </c>
      <c r="B7" s="4">
        <v>372905</v>
      </c>
      <c r="C7" s="4">
        <v>401371</v>
      </c>
      <c r="D7" s="4">
        <v>426042</v>
      </c>
    </row>
    <row r="8">
      <c r="A8" t="inlineStr">
        <is>
          <t>Operating Expenses</t>
        </is>
      </c>
      <c r="B8" s="4">
        <v>147190</v>
      </c>
      <c r="C8" s="4">
        <v>153488</v>
      </c>
      <c r="D8" s="4">
        <v>169560</v>
      </c>
    </row>
    <row r="9">
      <c r="A9" t="inlineStr">
        <is>
          <t>EBITDA</t>
        </is>
      </c>
      <c r="B9" s="4">
        <v>225715</v>
      </c>
      <c r="C9" s="4">
        <v>247883</v>
      </c>
      <c r="D9" s="4">
        <v>256482</v>
      </c>
    </row>
    <row r="10">
      <c r="A10" t="inlineStr">
        <is>
          <t>Depreciation</t>
        </is>
      </c>
      <c r="B10" s="4">
        <v>40303</v>
      </c>
      <c r="C10" s="4">
        <v>50832</v>
      </c>
      <c r="D10" s="4">
        <v>53136</v>
      </c>
    </row>
    <row r="11">
      <c r="A11" t="inlineStr">
        <is>
          <t>EBIT</t>
        </is>
      </c>
      <c r="B11" s="4">
        <v>185412</v>
      </c>
      <c r="C11" s="4">
        <v>197051</v>
      </c>
      <c r="D11" s="4">
        <v>203346</v>
      </c>
    </row>
    <row r="12">
      <c r="A12" t="inlineStr">
        <is>
          <t>Interest</t>
        </is>
      </c>
      <c r="B12" s="4">
        <v>19571</v>
      </c>
      <c r="C12" s="4">
        <v>23118</v>
      </c>
      <c r="D12" s="4">
        <v>24269</v>
      </c>
    </row>
    <row r="13">
      <c r="A13" t="inlineStr" s="3">
        <is>
          <t>Balance Sheet</t>
        </is>
      </c>
      <c r="B13" s="4">
        <v>20376</v>
      </c>
      <c r="C13" s="4">
        <v>25707</v>
      </c>
      <c r="D13" s="4">
        <v>25230</v>
      </c>
    </row>
    <row r="14">
      <c r="A14" t="inlineStr">
        <is>
          <t>Cash</t>
        </is>
      </c>
      <c r="B14" s="4">
        <v>68664</v>
      </c>
      <c r="C14" s="4">
        <v>97225</v>
      </c>
      <c r="D14" s="4">
        <v>106502</v>
      </c>
    </row>
    <row r="15">
      <c r="A15" t="inlineStr">
        <is>
          <t>Accounts Receivable</t>
        </is>
      </c>
      <c r="B15" s="4">
        <v>28448</v>
      </c>
      <c r="C15" s="4">
        <v>31628</v>
      </c>
      <c r="D15" s="4">
        <v>42121</v>
      </c>
    </row>
    <row r="16">
      <c r="A16" t="inlineStr">
        <is>
          <t>Inventory</t>
        </is>
      </c>
      <c r="B16" s="4">
        <v>140008</v>
      </c>
      <c r="C16" s="4">
        <v>152770</v>
      </c>
      <c r="D16" s="4">
        <v>146062</v>
      </c>
    </row>
    <row r="17">
      <c r="A17" t="inlineStr">
        <is>
          <t>PPE</t>
        </is>
      </c>
      <c r="B17" s="4">
        <v>570503</v>
      </c>
      <c r="C17" s="4">
        <v>606084</v>
      </c>
      <c r="D17" s="4">
        <v>683102</v>
      </c>
    </row>
    <row r="18">
      <c r="A18" t="inlineStr">
        <is>
          <t>Total Assets</t>
        </is>
      </c>
      <c r="B18" s="4">
        <v>1607431</v>
      </c>
      <c r="C18" s="4">
        <v>1755986</v>
      </c>
      <c r="D18" s="4">
        <v>1950121</v>
      </c>
    </row>
    <row r="19">
      <c r="A19" t="inlineStr">
        <is>
          <t>Accounts Payable</t>
        </is>
      </c>
      <c r="B19" s="4">
        <v>147172</v>
      </c>
      <c r="C19" s="4">
        <v>178377</v>
      </c>
      <c r="D19" s="4">
        <v>186789</v>
      </c>
    </row>
    <row r="20">
      <c r="A20" t="inlineStr">
        <is>
          <t>Debt</t>
        </is>
      </c>
      <c r="B20" s="4">
        <v>313966</v>
      </c>
      <c r="C20" s="4">
        <v>324622</v>
      </c>
      <c r="D20" s="4">
        <v>347530</v>
      </c>
    </row>
    <row r="21">
      <c r="A21" t="inlineStr">
        <is>
          <t>Equity</t>
        </is>
      </c>
      <c r="B21" s="4">
        <v>828881</v>
      </c>
      <c r="C21" s="4">
        <v>925788</v>
      </c>
      <c r="D21" s="4">
        <v>1009626</v>
      </c>
    </row>
    <row r="22">
      <c r="A22" t="inlineStr">
        <is>
          <t>Total Liabilities + Equity</t>
        </is>
      </c>
      <c r="B22" s="4">
        <v>1607431</v>
      </c>
      <c r="C22" s="4">
        <v>1755986</v>
      </c>
      <c r="D22" s="4">
        <v>1950121</v>
      </c>
    </row>
  </sheetData>
</worksheet>
</file>

<file path=xl/worksheets/sheet3.xml><?xml version="1.0" encoding="utf-8"?>
<worksheet xmlns="http://schemas.openxmlformats.org/spreadsheetml/2006/main">
  <cols>
    <col min="1" max="1" width="36" customWidth="1"/>
    <col min="2" max="2" width="12.5" customWidth="1"/>
    <col min="3" max="3" width="12.5" customWidth="1"/>
    <col min="4" max="4" width="12.5" customWidth="1"/>
    <col min="5" max="5" width="12.5" customWidth="1"/>
    <col min="6" max="6" width="12.5" customWidth="1"/>
  </cols>
  <sheetData>
    <row r="1">
      <c r="A1" t="inlineStr" s="1">
        <is>
          <t>Assumptions (Scenario-Driven)</t>
        </is>
      </c>
    </row>
    <row r="3">
      <c r="A3" t="inlineStr" s="3">
        <is>
          <t>Revenue Growth</t>
        </is>
      </c>
    </row>
    <row r="4">
      <c r="A4" t="inlineStr" s="2">
        <is>
          <t>Scenario</t>
        </is>
      </c>
      <c r="B4" t="inlineStr" s="2">
        <is>
          <t>FY2026E</t>
        </is>
      </c>
      <c r="C4" t="inlineStr" s="2">
        <is>
          <t>FY2027E</t>
        </is>
      </c>
      <c r="D4" t="inlineStr" s="2">
        <is>
          <t>FY2028E</t>
        </is>
      </c>
      <c r="E4" t="inlineStr" s="2">
        <is>
          <t>FY2029E</t>
        </is>
      </c>
      <c r="F4" t="inlineStr" s="2">
        <is>
          <t>FY2030E</t>
        </is>
      </c>
    </row>
    <row r="5">
      <c r="A5" t="inlineStr">
        <is>
          <t>Base</t>
        </is>
      </c>
      <c r="B5" s="5">
        <v>0.09</v>
      </c>
      <c r="C5" s="5">
        <v>0.085</v>
      </c>
      <c r="D5" s="5">
        <v>0.08</v>
      </c>
      <c r="E5" s="5">
        <v>0.075</v>
      </c>
      <c r="F5" s="5">
        <v>0.07</v>
      </c>
    </row>
    <row r="6">
      <c r="A6" t="inlineStr">
        <is>
          <t>Bull</t>
        </is>
      </c>
      <c r="B6" s="5">
        <v>0.12</v>
      </c>
      <c r="C6" s="5">
        <v>0.11</v>
      </c>
      <c r="D6" s="5">
        <v>0.1</v>
      </c>
      <c r="E6" s="5">
        <v>0.095</v>
      </c>
      <c r="F6" s="5">
        <v>0.09</v>
      </c>
    </row>
    <row r="7">
      <c r="A7" t="inlineStr">
        <is>
          <t>Bear</t>
        </is>
      </c>
      <c r="B7" s="5">
        <v>0.05</v>
      </c>
      <c r="C7" s="5">
        <v>0.045</v>
      </c>
      <c r="D7" s="5">
        <v>0.04</v>
      </c>
      <c r="E7" s="5">
        <v>0.04</v>
      </c>
      <c r="F7" s="5">
        <v>0.035</v>
      </c>
    </row>
    <row r="9">
      <c r="A9" t="inlineStr" s="3">
        <is>
          <t>EBITDA Margin</t>
        </is>
      </c>
    </row>
    <row r="10">
      <c r="A10" t="inlineStr" s="2">
        <is>
          <t>Scenario</t>
        </is>
      </c>
      <c r="B10" t="inlineStr" s="2">
        <is>
          <t>FY2026E</t>
        </is>
      </c>
      <c r="C10" t="inlineStr" s="2">
        <is>
          <t>FY2027E</t>
        </is>
      </c>
      <c r="D10" t="inlineStr" s="2">
        <is>
          <t>FY2028E</t>
        </is>
      </c>
      <c r="E10" t="inlineStr" s="2">
        <is>
          <t>FY2029E</t>
        </is>
      </c>
      <c r="F10" t="inlineStr" s="2">
        <is>
          <t>FY2030E</t>
        </is>
      </c>
    </row>
    <row r="11">
      <c r="A11" t="inlineStr">
        <is>
          <t>Base</t>
        </is>
      </c>
      <c r="B11" s="5">
        <v>0.27</v>
      </c>
      <c r="C11" s="5">
        <v>0.272</v>
      </c>
      <c r="D11" s="5">
        <v>0.275</v>
      </c>
      <c r="E11" s="5">
        <v>0.277</v>
      </c>
      <c r="F11" s="5">
        <v>0.28</v>
      </c>
    </row>
    <row r="12">
      <c r="A12" t="inlineStr">
        <is>
          <t>Bull</t>
        </is>
      </c>
      <c r="B12" s="5">
        <v>0.29</v>
      </c>
      <c r="C12" s="5">
        <v>0.292</v>
      </c>
      <c r="D12" s="5">
        <v>0.295</v>
      </c>
      <c r="E12" s="5">
        <v>0.297</v>
      </c>
      <c r="F12" s="5">
        <v>0.3</v>
      </c>
    </row>
    <row r="13">
      <c r="A13" t="inlineStr">
        <is>
          <t>Bear</t>
        </is>
      </c>
      <c r="B13" s="5">
        <v>0.24</v>
      </c>
      <c r="C13" s="5">
        <v>0.238</v>
      </c>
      <c r="D13" s="5">
        <v>0.235</v>
      </c>
      <c r="E13" s="5">
        <v>0.233</v>
      </c>
      <c r="F13" s="5">
        <v>0.23</v>
      </c>
    </row>
    <row r="15">
      <c r="A15" t="inlineStr" s="3">
        <is>
          <t>Capex % Revenue</t>
        </is>
      </c>
    </row>
    <row r="16">
      <c r="A16" t="inlineStr" s="2">
        <is>
          <t>Scenario</t>
        </is>
      </c>
      <c r="B16" t="inlineStr" s="2">
        <is>
          <t>FY2026E</t>
        </is>
      </c>
      <c r="C16" t="inlineStr" s="2">
        <is>
          <t>FY2027E</t>
        </is>
      </c>
      <c r="D16" t="inlineStr" s="2">
        <is>
          <t>FY2028E</t>
        </is>
      </c>
      <c r="E16" t="inlineStr" s="2">
        <is>
          <t>FY2029E</t>
        </is>
      </c>
      <c r="F16" t="inlineStr" s="2">
        <is>
          <t>FY2030E</t>
        </is>
      </c>
    </row>
    <row r="17">
      <c r="A17" t="inlineStr">
        <is>
          <t>Base</t>
        </is>
      </c>
      <c r="B17" s="5">
        <v>0.11</v>
      </c>
      <c r="C17" s="5">
        <v>0.108</v>
      </c>
      <c r="D17" s="5">
        <v>0.105</v>
      </c>
      <c r="E17" s="5">
        <v>0.102</v>
      </c>
      <c r="F17" s="5">
        <v>0.1</v>
      </c>
    </row>
    <row r="18">
      <c r="A18" t="inlineStr">
        <is>
          <t>Bull</t>
        </is>
      </c>
      <c r="B18" s="5">
        <v>0.125</v>
      </c>
      <c r="C18" s="5">
        <v>0.122</v>
      </c>
      <c r="D18" s="5">
        <v>0.12</v>
      </c>
      <c r="E18" s="5">
        <v>0.118</v>
      </c>
      <c r="F18" s="5">
        <v>0.115</v>
      </c>
    </row>
    <row r="19">
      <c r="A19" t="inlineStr">
        <is>
          <t>Bear</t>
        </is>
      </c>
      <c r="B19" s="5">
        <v>0.09</v>
      </c>
      <c r="C19" s="5">
        <v>0.088</v>
      </c>
      <c r="D19" s="5">
        <v>0.085</v>
      </c>
      <c r="E19" s="5">
        <v>0.082</v>
      </c>
      <c r="F19" s="5">
        <v>0.08</v>
      </c>
    </row>
    <row r="21">
      <c r="A21" t="inlineStr" s="3">
        <is>
          <t>Global Assumptions</t>
        </is>
      </c>
    </row>
    <row r="22">
      <c r="A22" t="inlineStr" s="2">
        <is>
          <t>Metric</t>
        </is>
      </c>
      <c r="B22" t="inlineStr" s="2">
        <is>
          <t>FY2026E</t>
        </is>
      </c>
      <c r="C22" t="inlineStr" s="2">
        <is>
          <t>FY2027E</t>
        </is>
      </c>
      <c r="D22" t="inlineStr" s="2">
        <is>
          <t>FY2028E</t>
        </is>
      </c>
      <c r="E22" t="inlineStr" s="2">
        <is>
          <t>FY2029E</t>
        </is>
      </c>
      <c r="F22" t="inlineStr" s="2">
        <is>
          <t>FY2030E</t>
        </is>
      </c>
    </row>
    <row r="23">
      <c r="A23" t="inlineStr">
        <is>
          <t>AR Days</t>
        </is>
      </c>
      <c r="B23" s="6">
        <v>50</v>
      </c>
      <c r="C23" s="6">
        <v>50</v>
      </c>
      <c r="D23" s="6">
        <v>50</v>
      </c>
      <c r="E23" s="6">
        <v>50</v>
      </c>
      <c r="F23" s="6">
        <v>50</v>
      </c>
    </row>
    <row r="24">
      <c r="A24" t="inlineStr">
        <is>
          <t>Inventory Days</t>
        </is>
      </c>
      <c r="B24" s="6">
        <v>47</v>
      </c>
      <c r="C24" s="6">
        <v>47</v>
      </c>
      <c r="D24" s="6">
        <v>47</v>
      </c>
      <c r="E24" s="6">
        <v>47</v>
      </c>
      <c r="F24" s="6">
        <v>47</v>
      </c>
    </row>
    <row r="25">
      <c r="A25" t="inlineStr">
        <is>
          <t>AP Days</t>
        </is>
      </c>
      <c r="B25" s="6">
        <v>42</v>
      </c>
      <c r="C25" s="6">
        <v>42</v>
      </c>
      <c r="D25" s="6">
        <v>42</v>
      </c>
      <c r="E25" s="6">
        <v>42</v>
      </c>
      <c r="F25" s="6">
        <v>42</v>
      </c>
    </row>
    <row r="26">
      <c r="A26" t="inlineStr">
        <is>
          <t>Tax Rate</t>
        </is>
      </c>
      <c r="B26" s="5">
        <v>0.25</v>
      </c>
      <c r="C26" s="5">
        <v>0.25</v>
      </c>
      <c r="D26" s="5">
        <v>0.25</v>
      </c>
      <c r="E26" s="5">
        <v>0.25</v>
      </c>
      <c r="F26" s="5">
        <v>0.25</v>
      </c>
    </row>
    <row r="27">
      <c r="A27" t="inlineStr">
        <is>
          <t>Interest Rate</t>
        </is>
      </c>
      <c r="B27" s="5">
        <v>0.095</v>
      </c>
      <c r="C27" s="5">
        <v>0.095</v>
      </c>
      <c r="D27" s="5">
        <v>0.095</v>
      </c>
      <c r="E27" s="5">
        <v>0.095</v>
      </c>
      <c r="F27" s="5">
        <v>0.095</v>
      </c>
    </row>
    <row r="28">
      <c r="A28" t="inlineStr">
        <is>
          <t>Minimum Cash % Revenue</t>
        </is>
      </c>
      <c r="B28" s="5">
        <v>0.03</v>
      </c>
      <c r="C28" s="5">
        <v>0.03</v>
      </c>
      <c r="D28" s="5">
        <v>0.03</v>
      </c>
      <c r="E28" s="5">
        <v>0.03</v>
      </c>
      <c r="F28" s="5">
        <v>0.03</v>
      </c>
    </row>
    <row r="29">
      <c r="A29" t="inlineStr">
        <is>
          <t>Depreciation % Opening PPE</t>
        </is>
      </c>
      <c r="B29" s="5">
        <v>0.09</v>
      </c>
      <c r="C29" s="5">
        <v>0.09</v>
      </c>
      <c r="D29" s="5">
        <v>0.09</v>
      </c>
      <c r="E29" s="5">
        <v>0.09</v>
      </c>
      <c r="F29" s="5">
        <v>0.09</v>
      </c>
    </row>
    <row r="30">
      <c r="A30" t="inlineStr">
        <is>
          <t>Operating Expenses % Revenue</t>
        </is>
      </c>
      <c r="B30" s="5">
        <v>0.065</v>
      </c>
      <c r="C30" s="5">
        <v>0.064</v>
      </c>
      <c r="D30" s="5">
        <v>0.063</v>
      </c>
      <c r="E30" s="5">
        <v>0.062</v>
      </c>
      <c r="F30" s="5">
        <v>0.061</v>
      </c>
    </row>
    <row r="31">
      <c r="A31" t="inlineStr">
        <is>
          <t>Other Assets % Revenue</t>
        </is>
      </c>
      <c r="B31" s="5">
        <v>0.907</v>
      </c>
      <c r="C31" s="5">
        <v>0.907</v>
      </c>
      <c r="D31" s="5">
        <v>0.907</v>
      </c>
      <c r="E31" s="5">
        <v>0.907</v>
      </c>
      <c r="F31" s="5">
        <v>0.907</v>
      </c>
    </row>
    <row r="32">
      <c r="A32" t="inlineStr">
        <is>
          <t>Other Liabilities % Revenue</t>
        </is>
      </c>
      <c r="B32" s="5">
        <v>0.379</v>
      </c>
      <c r="C32" s="5">
        <v>0.379</v>
      </c>
      <c r="D32" s="5">
        <v>0.379</v>
      </c>
      <c r="E32" s="5">
        <v>0.379</v>
      </c>
      <c r="F32" s="5">
        <v>0.379</v>
      </c>
    </row>
  </sheetData>
</worksheet>
</file>

<file path=xl/worksheets/sheet4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>Working Capital Schedule</t>
        </is>
      </c>
    </row>
    <row r="3">
      <c r="A3" t="inlineStr" s="2">
        <is>
          <t>Line Item</t>
        </is>
      </c>
      <c r="B3" t="inlineStr" s="2">
        <is>
          <t>FY2026E</t>
        </is>
      </c>
      <c r="C3" t="inlineStr" s="2">
        <is>
          <t>FY2027E</t>
        </is>
      </c>
      <c r="D3" t="inlineStr" s="2">
        <is>
          <t>FY2028E</t>
        </is>
      </c>
      <c r="E3" t="inlineStr" s="2">
        <is>
          <t>FY2029E</t>
        </is>
      </c>
      <c r="F3" t="inlineStr" s="2">
        <is>
          <t>FY2030E</t>
        </is>
      </c>
    </row>
    <row r="4">
      <c r="A4" t="inlineStr">
        <is>
          <t>Revenue</t>
        </is>
      </c>
      <c r="B4" s="4">
        <f>'Projection Model'!B5</f>
        <v>0</v>
      </c>
      <c r="C4" s="4">
        <f>'Projection Model'!C5</f>
        <v>0</v>
      </c>
      <c r="D4" s="4">
        <f>'Projection Model'!D5</f>
        <v>0</v>
      </c>
      <c r="E4" s="4">
        <f>'Projection Model'!E5</f>
        <v>0</v>
      </c>
      <c r="F4" s="4">
        <f>'Projection Model'!F5</f>
        <v>0</v>
      </c>
    </row>
    <row r="5">
      <c r="A5" t="inlineStr">
        <is>
          <t>COGS</t>
        </is>
      </c>
      <c r="B5" s="4">
        <f>'Projection Model'!B6</f>
        <v>0</v>
      </c>
      <c r="C5" s="4">
        <f>'Projection Model'!C6</f>
        <v>0</v>
      </c>
      <c r="D5" s="4">
        <f>'Projection Model'!D6</f>
        <v>0</v>
      </c>
      <c r="E5" s="4">
        <f>'Projection Model'!E6</f>
        <v>0</v>
      </c>
      <c r="F5" s="4">
        <f>'Projection Model'!F6</f>
        <v>0</v>
      </c>
    </row>
    <row r="6">
      <c r="A6" t="inlineStr">
        <is>
          <t>AR Days</t>
        </is>
      </c>
      <c r="B6" s="6">
        <f>INDEX(Assumptions!$B$23:$F$23,1,1)</f>
        <v>0</v>
      </c>
      <c r="C6" s="6">
        <f>INDEX(Assumptions!$B$23:$F$23,1,2)</f>
        <v>0</v>
      </c>
      <c r="D6" s="6">
        <f>INDEX(Assumptions!$B$23:$F$23,1,3)</f>
        <v>0</v>
      </c>
      <c r="E6" s="6">
        <f>INDEX(Assumptions!$B$23:$F$23,1,4)</f>
        <v>0</v>
      </c>
      <c r="F6" s="6">
        <f>INDEX(Assumptions!$B$23:$F$23,1,5)</f>
        <v>0</v>
      </c>
    </row>
    <row r="7">
      <c r="A7" t="inlineStr">
        <is>
          <t>Inventory Days</t>
        </is>
      </c>
      <c r="B7" s="6">
        <f>INDEX(Assumptions!$B$24:$F$24,1,1)</f>
        <v>0</v>
      </c>
      <c r="C7" s="6">
        <f>INDEX(Assumptions!$B$24:$F$24,1,2)</f>
        <v>0</v>
      </c>
      <c r="D7" s="6">
        <f>INDEX(Assumptions!$B$24:$F$24,1,3)</f>
        <v>0</v>
      </c>
      <c r="E7" s="6">
        <f>INDEX(Assumptions!$B$24:$F$24,1,4)</f>
        <v>0</v>
      </c>
      <c r="F7" s="6">
        <f>INDEX(Assumptions!$B$24:$F$24,1,5)</f>
        <v>0</v>
      </c>
    </row>
    <row r="8">
      <c r="A8" t="inlineStr">
        <is>
          <t>AP Days</t>
        </is>
      </c>
      <c r="B8" s="6">
        <f>INDEX(Assumptions!$B$25:$F$25,1,1)</f>
        <v>0</v>
      </c>
      <c r="C8" s="6">
        <f>INDEX(Assumptions!$B$25:$F$25,1,2)</f>
        <v>0</v>
      </c>
      <c r="D8" s="6">
        <f>INDEX(Assumptions!$B$25:$F$25,1,3)</f>
        <v>0</v>
      </c>
      <c r="E8" s="6">
        <f>INDEX(Assumptions!$B$25:$F$25,1,4)</f>
        <v>0</v>
      </c>
      <c r="F8" s="6">
        <f>INDEX(Assumptions!$B$25:$F$25,1,5)</f>
        <v>0</v>
      </c>
    </row>
    <row r="9">
      <c r="A9" t="inlineStr">
        <is>
          <t>Accounts Receivable</t>
        </is>
      </c>
      <c r="B9" s="4">
        <f>B4*B6/365</f>
        <v>0</v>
      </c>
      <c r="C9" s="4">
        <f>C4*C6/365</f>
        <v>0</v>
      </c>
      <c r="D9" s="4">
        <f>D4*D6/365</f>
        <v>0</v>
      </c>
      <c r="E9" s="4">
        <f>E4*E6/365</f>
        <v>0</v>
      </c>
      <c r="F9" s="4">
        <f>F4*F6/365</f>
        <v>0</v>
      </c>
    </row>
    <row r="10">
      <c r="A10" t="inlineStr">
        <is>
          <t>Inventory</t>
        </is>
      </c>
      <c r="B10" s="4">
        <f>B5*B7/365</f>
        <v>0</v>
      </c>
      <c r="C10" s="4">
        <f>C5*C7/365</f>
        <v>0</v>
      </c>
      <c r="D10" s="4">
        <f>D5*D7/365</f>
        <v>0</v>
      </c>
      <c r="E10" s="4">
        <f>E5*E7/365</f>
        <v>0</v>
      </c>
      <c r="F10" s="4">
        <f>F5*F7/365</f>
        <v>0</v>
      </c>
    </row>
    <row r="11">
      <c r="A11" t="inlineStr">
        <is>
          <t>Accounts Payable</t>
        </is>
      </c>
      <c r="B11" s="4">
        <f>B5*B8/365</f>
        <v>0</v>
      </c>
      <c r="C11" s="4">
        <f>C5*C8/365</f>
        <v>0</v>
      </c>
      <c r="D11" s="4">
        <f>D5*D8/365</f>
        <v>0</v>
      </c>
      <c r="E11" s="4">
        <f>E5*E8/365</f>
        <v>0</v>
      </c>
      <c r="F11" s="4">
        <f>F5*F8/365</f>
        <v>0</v>
      </c>
    </row>
    <row r="12">
      <c r="A12" t="inlineStr">
        <is>
          <t>Net Working Capital</t>
        </is>
      </c>
      <c r="B12" s="4">
        <f>B9+B10-B11</f>
        <v>0</v>
      </c>
      <c r="C12" s="4">
        <f>C9+C10-C11</f>
        <v>0</v>
      </c>
      <c r="D12" s="4">
        <f>D9+D10-D11</f>
        <v>0</v>
      </c>
      <c r="E12" s="4">
        <f>E9+E10-E11</f>
        <v>0</v>
      </c>
      <c r="F12" s="4">
        <f>F9+F10-F11</f>
        <v>0</v>
      </c>
    </row>
    <row r="13">
      <c r="A13" t="inlineStr">
        <is>
          <t>Change in NWC</t>
        </is>
      </c>
      <c r="B13" s="4">
        <f>B12-('Historical Financials'!D15+'Historical Financials'!D16-'Historical Financials'!D19)</f>
        <v>0</v>
      </c>
      <c r="C13" s="4">
        <f>C12-B12</f>
        <v>0</v>
      </c>
      <c r="D13" s="4">
        <f>D12-C12</f>
        <v>0</v>
      </c>
      <c r="E13" s="4">
        <f>E12-D12</f>
        <v>0</v>
      </c>
      <c r="F13" s="4">
        <f>F12-E12</f>
        <v>0</v>
      </c>
    </row>
  </sheetData>
</worksheet>
</file>

<file path=xl/worksheets/sheet5.xml><?xml version="1.0" encoding="utf-8"?>
<worksheet xmlns="http://schemas.openxmlformats.org/spreadsheetml/2006/main">
  <cols>
    <col min="1" max="1" width="34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>PPE Roll-Forward Schedule</t>
        </is>
      </c>
    </row>
    <row r="3">
      <c r="A3" t="inlineStr" s="2">
        <is>
          <t>Line Item</t>
        </is>
      </c>
      <c r="B3" t="inlineStr" s="2">
        <is>
          <t>FY2026E</t>
        </is>
      </c>
      <c r="C3" t="inlineStr" s="2">
        <is>
          <t>FY2027E</t>
        </is>
      </c>
      <c r="D3" t="inlineStr" s="2">
        <is>
          <t>FY2028E</t>
        </is>
      </c>
      <c r="E3" t="inlineStr" s="2">
        <is>
          <t>FY2029E</t>
        </is>
      </c>
      <c r="F3" t="inlineStr" s="2">
        <is>
          <t>FY2030E</t>
        </is>
      </c>
    </row>
    <row r="4">
      <c r="A4" t="inlineStr">
        <is>
          <t>Opening PPE</t>
        </is>
      </c>
      <c r="B4" s="4">
        <f>'Historical Financials'!D17</f>
        <v>0</v>
      </c>
      <c r="C4" s="4">
        <f>B9</f>
        <v>0</v>
      </c>
      <c r="D4" s="4">
        <f>C9</f>
        <v>0</v>
      </c>
      <c r="E4" s="4">
        <f>D9</f>
        <v>0</v>
      </c>
      <c r="F4" s="4">
        <f>E9</f>
        <v>0</v>
      </c>
    </row>
    <row r="5">
      <c r="A5" t="inlineStr">
        <is>
          <t>Capex % Revenue</t>
        </is>
      </c>
      <c r="B5" s="5">
        <f>INDEX(Assumptions!$B$17:$F$19,MATCH('Control Panel'!$B$3,Assumptions!$A$5:$A$7,0),1)</f>
        <v>0</v>
      </c>
      <c r="C5" s="5">
        <f>INDEX(Assumptions!$B$17:$F$19,MATCH('Control Panel'!$B$3,Assumptions!$A$5:$A$7,0),2)</f>
        <v>0</v>
      </c>
      <c r="D5" s="5">
        <f>INDEX(Assumptions!$B$17:$F$19,MATCH('Control Panel'!$B$3,Assumptions!$A$5:$A$7,0),3)</f>
        <v>0</v>
      </c>
      <c r="E5" s="5">
        <f>INDEX(Assumptions!$B$17:$F$19,MATCH('Control Panel'!$B$3,Assumptions!$A$5:$A$7,0),4)</f>
        <v>0</v>
      </c>
      <c r="F5" s="5">
        <f>INDEX(Assumptions!$B$17:$F$19,MATCH('Control Panel'!$B$3,Assumptions!$A$5:$A$7,0),5)</f>
        <v>0</v>
      </c>
    </row>
    <row r="6">
      <c r="A6" t="inlineStr">
        <is>
          <t>Capex</t>
        </is>
      </c>
      <c r="B6" s="4">
        <f>'Projection Model'!B5*B5</f>
        <v>0</v>
      </c>
      <c r="C6" s="4">
        <f>'Projection Model'!C5*C5</f>
        <v>0</v>
      </c>
      <c r="D6" s="4">
        <f>'Projection Model'!D5*D5</f>
        <v>0</v>
      </c>
      <c r="E6" s="4">
        <f>'Projection Model'!E5*E5</f>
        <v>0</v>
      </c>
      <c r="F6" s="4">
        <f>'Projection Model'!F5*F5</f>
        <v>0</v>
      </c>
    </row>
    <row r="7">
      <c r="A7" t="inlineStr">
        <is>
          <t>Depreciation % Opening PPE</t>
        </is>
      </c>
      <c r="B7" s="5">
        <f>INDEX(Assumptions!$B$29:$F$29,1,1)</f>
        <v>0</v>
      </c>
      <c r="C7" s="5">
        <f>INDEX(Assumptions!$B$29:$F$29,1,2)</f>
        <v>0</v>
      </c>
      <c r="D7" s="5">
        <f>INDEX(Assumptions!$B$29:$F$29,1,3)</f>
        <v>0</v>
      </c>
      <c r="E7" s="5">
        <f>INDEX(Assumptions!$B$29:$F$29,1,4)</f>
        <v>0</v>
      </c>
      <c r="F7" s="5">
        <f>INDEX(Assumptions!$B$29:$F$29,1,5)</f>
        <v>0</v>
      </c>
    </row>
    <row r="8">
      <c r="A8" t="inlineStr">
        <is>
          <t>Depreciation</t>
        </is>
      </c>
      <c r="B8" s="4">
        <f>B4*B7</f>
        <v>0</v>
      </c>
      <c r="C8" s="4">
        <f>C4*C7</f>
        <v>0</v>
      </c>
      <c r="D8" s="4">
        <f>D4*D7</f>
        <v>0</v>
      </c>
      <c r="E8" s="4">
        <f>E4*E7</f>
        <v>0</v>
      </c>
      <c r="F8" s="4">
        <f>F4*F7</f>
        <v>0</v>
      </c>
    </row>
    <row r="9">
      <c r="A9" t="inlineStr">
        <is>
          <t>Closing PPE</t>
        </is>
      </c>
      <c r="B9" s="4">
        <f>B4+B6-B8</f>
        <v>0</v>
      </c>
      <c r="C9" s="4">
        <f>C4+C6-C8</f>
        <v>0</v>
      </c>
      <c r="D9" s="4">
        <f>D4+D6-D8</f>
        <v>0</v>
      </c>
      <c r="E9" s="4">
        <f>E4+E6-E8</f>
        <v>0</v>
      </c>
      <c r="F9" s="4">
        <f>F4+F6-F8</f>
        <v>0</v>
      </c>
    </row>
  </sheetData>
</worksheet>
</file>

<file path=xl/worksheets/sheet6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>Debt Schedule</t>
        </is>
      </c>
    </row>
    <row r="3">
      <c r="A3" t="inlineStr" s="2">
        <is>
          <t>Line Item</t>
        </is>
      </c>
      <c r="B3" t="inlineStr" s="2">
        <is>
          <t>FY2026E</t>
        </is>
      </c>
      <c r="C3" t="inlineStr" s="2">
        <is>
          <t>FY2027E</t>
        </is>
      </c>
      <c r="D3" t="inlineStr" s="2">
        <is>
          <t>FY2028E</t>
        </is>
      </c>
      <c r="E3" t="inlineStr" s="2">
        <is>
          <t>FY2029E</t>
        </is>
      </c>
      <c r="F3" t="inlineStr" s="2">
        <is>
          <t>FY2030E</t>
        </is>
      </c>
    </row>
    <row r="4">
      <c r="A4" t="inlineStr">
        <is>
          <t>Opening Debt</t>
        </is>
      </c>
      <c r="B4" s="4">
        <f>'Historical Financials'!D20</f>
        <v>0</v>
      </c>
      <c r="C4" s="4">
        <f>B11</f>
        <v>0</v>
      </c>
      <c r="D4" s="4">
        <f>C11</f>
        <v>0</v>
      </c>
      <c r="E4" s="4">
        <f>D11</f>
        <v>0</v>
      </c>
      <c r="F4" s="4">
        <f>E11</f>
        <v>0</v>
      </c>
    </row>
    <row r="5">
      <c r="A5" t="inlineStr">
        <is>
          <t>Interest Rate</t>
        </is>
      </c>
      <c r="B5" s="5">
        <f>INDEX(Assumptions!$B$27:$F$27,1,1)</f>
        <v>0</v>
      </c>
      <c r="C5" s="5">
        <f>INDEX(Assumptions!$B$27:$F$27,1,2)</f>
        <v>0</v>
      </c>
      <c r="D5" s="5">
        <f>INDEX(Assumptions!$B$27:$F$27,1,3)</f>
        <v>0</v>
      </c>
      <c r="E5" s="5">
        <f>INDEX(Assumptions!$B$27:$F$27,1,4)</f>
        <v>0</v>
      </c>
      <c r="F5" s="5">
        <f>INDEX(Assumptions!$B$27:$F$27,1,5)</f>
        <v>0</v>
      </c>
    </row>
    <row r="6">
      <c r="A6" t="inlineStr">
        <is>
          <t>Interest Expense</t>
        </is>
      </c>
      <c r="B6" s="4">
        <f>B4*B5</f>
        <v>0</v>
      </c>
      <c r="C6" s="4">
        <f>C4*C5</f>
        <v>0</v>
      </c>
      <c r="D6" s="4">
        <f>D4*D5</f>
        <v>0</v>
      </c>
      <c r="E6" s="4">
        <f>E4*E5</f>
        <v>0</v>
      </c>
      <c r="F6" s="4">
        <f>F4*F5</f>
        <v>0</v>
      </c>
    </row>
    <row r="7">
      <c r="A7" t="inlineStr">
        <is>
          <t>Beginning Cash</t>
        </is>
      </c>
      <c r="B7" s="4">
        <f>'Projection Model'!B39</f>
        <v>0</v>
      </c>
      <c r="C7" s="4">
        <f>'Projection Model'!C39</f>
        <v>0</v>
      </c>
      <c r="D7" s="4">
        <f>'Projection Model'!D39</f>
        <v>0</v>
      </c>
      <c r="E7" s="4">
        <f>'Projection Model'!E39</f>
        <v>0</v>
      </c>
      <c r="F7" s="4">
        <f>'Projection Model'!F39</f>
        <v>0</v>
      </c>
    </row>
    <row r="8">
      <c r="A8" t="inlineStr">
        <is>
          <t>Pre-Financing Cash</t>
        </is>
      </c>
      <c r="B8" s="4">
        <f>B7+'Projection Model'!B33+'Projection Model'!B35</f>
        <v>0</v>
      </c>
      <c r="C8" s="4">
        <f>C7+'Projection Model'!C33+'Projection Model'!C35</f>
        <v>0</v>
      </c>
      <c r="D8" s="4">
        <f>D7+'Projection Model'!D33+'Projection Model'!D35</f>
        <v>0</v>
      </c>
      <c r="E8" s="4">
        <f>E7+'Projection Model'!E33+'Projection Model'!E35</f>
        <v>0</v>
      </c>
      <c r="F8" s="4">
        <f>F7+'Projection Model'!F33+'Projection Model'!F35</f>
        <v>0</v>
      </c>
    </row>
    <row r="9">
      <c r="A9" t="inlineStr">
        <is>
          <t>Minimum Cash Target</t>
        </is>
      </c>
      <c r="B9" s="4">
        <f>'Projection Model'!B5*INDEX(Assumptions!$B$28:$F$28,1,1)</f>
        <v>0</v>
      </c>
      <c r="C9" s="4">
        <f>'Projection Model'!C5*INDEX(Assumptions!$B$28:$F$28,1,2)</f>
        <v>0</v>
      </c>
      <c r="D9" s="4">
        <f>'Projection Model'!D5*INDEX(Assumptions!$B$28:$F$28,1,3)</f>
        <v>0</v>
      </c>
      <c r="E9" s="4">
        <f>'Projection Model'!E5*INDEX(Assumptions!$B$28:$F$28,1,4)</f>
        <v>0</v>
      </c>
      <c r="F9" s="4">
        <f>'Projection Model'!F5*INDEX(Assumptions!$B$28:$F$28,1,5)</f>
        <v>0</v>
      </c>
    </row>
    <row r="10">
      <c r="A10" t="inlineStr">
        <is>
          <t>Debt Draw / (Repay)</t>
        </is>
      </c>
      <c r="B10" s="4">
        <f>MAX(0,B9-B8)-MIN(B4,MAX(0,B8-B9))</f>
        <v>0</v>
      </c>
      <c r="C10" s="4">
        <f>MAX(0,C9-C8)-MIN(C4,MAX(0,C8-C9))</f>
        <v>0</v>
      </c>
      <c r="D10" s="4">
        <f>MAX(0,D9-D8)-MIN(D4,MAX(0,D8-D9))</f>
        <v>0</v>
      </c>
      <c r="E10" s="4">
        <f>MAX(0,E9-E8)-MIN(E4,MAX(0,E8-E9))</f>
        <v>0</v>
      </c>
      <c r="F10" s="4">
        <f>MAX(0,F9-F8)-MIN(F4,MAX(0,F8-F9))</f>
        <v>0</v>
      </c>
    </row>
    <row r="11">
      <c r="A11" t="inlineStr">
        <is>
          <t>Closing Debt</t>
        </is>
      </c>
      <c r="B11" s="4">
        <f>B4+B10</f>
        <v>0</v>
      </c>
      <c r="C11" s="4">
        <f>C4+C10</f>
        <v>0</v>
      </c>
      <c r="D11" s="4">
        <f>D4+D10</f>
        <v>0</v>
      </c>
      <c r="E11" s="4">
        <f>E4+E10</f>
        <v>0</v>
      </c>
      <c r="F11" s="4">
        <f>F4+F10</f>
        <v>0</v>
      </c>
    </row>
  </sheetData>
</worksheet>
</file>

<file path=xl/worksheets/sheet7.xml><?xml version="1.0" encoding="utf-8"?>
<worksheet xmlns="http://schemas.openxmlformats.org/spreadsheetml/2006/main">
  <cols>
    <col min="1" max="1" width="3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</cols>
  <sheetData>
    <row r="1">
      <c r="A1" t="inlineStr" s="1">
        <is>
          <t>Integrated Projection Model (5-Year Forecast)</t>
        </is>
      </c>
    </row>
    <row r="2">
      <c r="A2" t="inlineStr" s="7">
        <is>
          <t>Selected Scenario</t>
        </is>
      </c>
      <c r="B2" s="7">
        <f>'Control Panel'!B3</f>
        <v>0</v>
      </c>
    </row>
    <row r="3">
      <c r="A3" t="inlineStr" s="2">
        <is>
          <t>Line Item</t>
        </is>
      </c>
      <c r="B3" t="inlineStr" s="2">
        <is>
          <t>FY2026E</t>
        </is>
      </c>
      <c r="C3" t="inlineStr" s="2">
        <is>
          <t>FY2027E</t>
        </is>
      </c>
      <c r="D3" t="inlineStr" s="2">
        <is>
          <t>FY2028E</t>
        </is>
      </c>
      <c r="E3" t="inlineStr" s="2">
        <is>
          <t>FY2029E</t>
        </is>
      </c>
      <c r="F3" t="inlineStr" s="2">
        <is>
          <t>FY2030E</t>
        </is>
      </c>
    </row>
    <row r="4">
      <c r="A4" t="inlineStr" s="3">
        <is>
          <t>Income Statement</t>
        </is>
      </c>
    </row>
    <row r="5">
      <c r="A5" t="inlineStr">
        <is>
          <t>Revenue</t>
        </is>
      </c>
      <c r="B5" s="4">
        <f>'Historical Financials'!D5*(1+INDEX(Assumptions!$B$5:$F$7,MATCH('Control Panel'!$B$3,Assumptions!$A$5:$A$7,0),1))</f>
        <v>0</v>
      </c>
      <c r="C5" s="4">
        <f>B5*(1+INDEX(Assumptions!$B$5:$F$7,MATCH('Control Panel'!$B$3,Assumptions!$A$5:$A$7,0),2))</f>
        <v>0</v>
      </c>
      <c r="D5" s="4">
        <f>C5*(1+INDEX(Assumptions!$B$5:$F$7,MATCH('Control Panel'!$B$3,Assumptions!$A$5:$A$7,0),3))</f>
        <v>0</v>
      </c>
      <c r="E5" s="4">
        <f>D5*(1+INDEX(Assumptions!$B$5:$F$7,MATCH('Control Panel'!$B$3,Assumptions!$A$5:$A$7,0),4))</f>
        <v>0</v>
      </c>
      <c r="F5" s="4">
        <f>E5*(1+INDEX(Assumptions!$B$5:$F$7,MATCH('Control Panel'!$B$3,Assumptions!$A$5:$A$7,0),5))</f>
        <v>0</v>
      </c>
    </row>
    <row r="6">
      <c r="A6" t="inlineStr">
        <is>
          <t>COGS</t>
        </is>
      </c>
      <c r="B6" s="4">
        <f>B5-B8-B9</f>
        <v>0</v>
      </c>
      <c r="C6" s="4">
        <f>C5-C8-C9</f>
        <v>0</v>
      </c>
      <c r="D6" s="4">
        <f>D5-D8-D9</f>
        <v>0</v>
      </c>
      <c r="E6" s="4">
        <f>E5-E8-E9</f>
        <v>0</v>
      </c>
      <c r="F6" s="4">
        <f>F5-F8-F9</f>
        <v>0</v>
      </c>
    </row>
    <row r="7">
      <c r="A7" t="inlineStr">
        <is>
          <t>Gross Profit</t>
        </is>
      </c>
      <c r="B7" s="4">
        <f>B5-B6</f>
        <v>0</v>
      </c>
      <c r="C7" s="4">
        <f>C5-C6</f>
        <v>0</v>
      </c>
      <c r="D7" s="4">
        <f>D5-D6</f>
        <v>0</v>
      </c>
      <c r="E7" s="4">
        <f>E5-E6</f>
        <v>0</v>
      </c>
      <c r="F7" s="4">
        <f>F5-F6</f>
        <v>0</v>
      </c>
    </row>
    <row r="8">
      <c r="A8" t="inlineStr">
        <is>
          <t>Operating Expenses</t>
        </is>
      </c>
      <c r="B8" s="4">
        <f>B5*INDEX(Assumptions!$B$30:$F$30,1,1)</f>
        <v>0</v>
      </c>
      <c r="C8" s="4">
        <f>C5*INDEX(Assumptions!$B$30:$F$30,1,2)</f>
        <v>0</v>
      </c>
      <c r="D8" s="4">
        <f>D5*INDEX(Assumptions!$B$30:$F$30,1,3)</f>
        <v>0</v>
      </c>
      <c r="E8" s="4">
        <f>E5*INDEX(Assumptions!$B$30:$F$30,1,4)</f>
        <v>0</v>
      </c>
      <c r="F8" s="4">
        <f>F5*INDEX(Assumptions!$B$30:$F$30,1,5)</f>
        <v>0</v>
      </c>
    </row>
    <row r="9">
      <c r="A9" t="inlineStr">
        <is>
          <t>EBITDA</t>
        </is>
      </c>
      <c r="B9" s="4">
        <f>B5*INDEX(Assumptions!$B$11:$F$13,MATCH('Control Panel'!$B$3,Assumptions!$A$5:$A$7,0),1)</f>
        <v>0</v>
      </c>
      <c r="C9" s="4">
        <f>C5*INDEX(Assumptions!$B$11:$F$13,MATCH('Control Panel'!$B$3,Assumptions!$A$5:$A$7,0),2)</f>
        <v>0</v>
      </c>
      <c r="D9" s="4">
        <f>D5*INDEX(Assumptions!$B$11:$F$13,MATCH('Control Panel'!$B$3,Assumptions!$A$5:$A$7,0),3)</f>
        <v>0</v>
      </c>
      <c r="E9" s="4">
        <f>E5*INDEX(Assumptions!$B$11:$F$13,MATCH('Control Panel'!$B$3,Assumptions!$A$5:$A$7,0),4)</f>
        <v>0</v>
      </c>
      <c r="F9" s="4">
        <f>F5*INDEX(Assumptions!$B$11:$F$13,MATCH('Control Panel'!$B$3,Assumptions!$A$5:$A$7,0),5)</f>
        <v>0</v>
      </c>
    </row>
    <row r="10">
      <c r="A10" t="inlineStr">
        <is>
          <t>Depreciation</t>
        </is>
      </c>
      <c r="B10" s="4">
        <f>'PPE Schedule'!B8</f>
        <v>0</v>
      </c>
      <c r="C10" s="4">
        <f>'PPE Schedule'!C8</f>
        <v>0</v>
      </c>
      <c r="D10" s="4">
        <f>'PPE Schedule'!D8</f>
        <v>0</v>
      </c>
      <c r="E10" s="4">
        <f>'PPE Schedule'!E8</f>
        <v>0</v>
      </c>
      <c r="F10" s="4">
        <f>'PPE Schedule'!F8</f>
        <v>0</v>
      </c>
    </row>
    <row r="11">
      <c r="A11" t="inlineStr">
        <is>
          <t>EBIT</t>
        </is>
      </c>
      <c r="B11" s="4">
        <f>B9-B10</f>
        <v>0</v>
      </c>
      <c r="C11" s="4">
        <f>C9-C10</f>
        <v>0</v>
      </c>
      <c r="D11" s="4">
        <f>D9-D10</f>
        <v>0</v>
      </c>
      <c r="E11" s="4">
        <f>E9-E10</f>
        <v>0</v>
      </c>
      <c r="F11" s="4">
        <f>F9-F10</f>
        <v>0</v>
      </c>
    </row>
    <row r="12">
      <c r="A12" t="inlineStr">
        <is>
          <t>Interest</t>
        </is>
      </c>
      <c r="B12" s="4">
        <f>'Debt Schedule'!B6</f>
        <v>0</v>
      </c>
      <c r="C12" s="4">
        <f>'Debt Schedule'!C6</f>
        <v>0</v>
      </c>
      <c r="D12" s="4">
        <f>'Debt Schedule'!D6</f>
        <v>0</v>
      </c>
      <c r="E12" s="4">
        <f>'Debt Schedule'!E6</f>
        <v>0</v>
      </c>
      <c r="F12" s="4">
        <f>'Debt Schedule'!F6</f>
        <v>0</v>
      </c>
    </row>
    <row r="13">
      <c r="A13" t="inlineStr">
        <is>
          <t>EBT</t>
        </is>
      </c>
      <c r="B13" s="4">
        <f>B11-B12</f>
        <v>0</v>
      </c>
      <c r="C13" s="4">
        <f>C11-C12</f>
        <v>0</v>
      </c>
      <c r="D13" s="4">
        <f>D11-D12</f>
        <v>0</v>
      </c>
      <c r="E13" s="4">
        <f>E11-E12</f>
        <v>0</v>
      </c>
      <c r="F13" s="4">
        <f>F11-F12</f>
        <v>0</v>
      </c>
    </row>
    <row r="14">
      <c r="A14" t="inlineStr">
        <is>
          <t>Tax</t>
        </is>
      </c>
      <c r="B14" s="4">
        <f>MAX(0,B13*INDEX(Assumptions!$B$26:$F$26,1,1))</f>
        <v>0</v>
      </c>
      <c r="C14" s="4">
        <f>MAX(0,C13*INDEX(Assumptions!$B$26:$F$26,1,2))</f>
        <v>0</v>
      </c>
      <c r="D14" s="4">
        <f>MAX(0,D13*INDEX(Assumptions!$B$26:$F$26,1,3))</f>
        <v>0</v>
      </c>
      <c r="E14" s="4">
        <f>MAX(0,E13*INDEX(Assumptions!$B$26:$F$26,1,4))</f>
        <v>0</v>
      </c>
      <c r="F14" s="4">
        <f>MAX(0,F13*INDEX(Assumptions!$B$26:$F$26,1,5))</f>
        <v>0</v>
      </c>
    </row>
    <row r="15">
      <c r="A15" t="inlineStr">
        <is>
          <t>Net Income</t>
        </is>
      </c>
      <c r="B15" s="4">
        <f>B13-B14</f>
        <v>0</v>
      </c>
      <c r="C15" s="4">
        <f>C13-C14</f>
        <v>0</v>
      </c>
      <c r="D15" s="4">
        <f>D13-D14</f>
        <v>0</v>
      </c>
      <c r="E15" s="4">
        <f>E13-E14</f>
        <v>0</v>
      </c>
      <c r="F15" s="4">
        <f>F13-F14</f>
        <v>0</v>
      </c>
    </row>
    <row r="16">
      <c r="A16" t="inlineStr">
        <is>
          <t/>
        </is>
      </c>
    </row>
    <row r="17">
      <c r="A17" t="inlineStr" s="3">
        <is>
          <t>Balance Sheet</t>
        </is>
      </c>
    </row>
    <row r="18">
      <c r="A18" t="inlineStr">
        <is>
          <t>Cash</t>
        </is>
      </c>
    </row>
    <row r="19">
      <c r="A19" t="inlineStr">
        <is>
          <t>Accounts Receivable</t>
        </is>
      </c>
      <c r="B19" s="4">
        <f>B41</f>
        <v>0</v>
      </c>
      <c r="C19" s="4">
        <f>C41</f>
        <v>0</v>
      </c>
      <c r="D19" s="4">
        <f>D41</f>
        <v>0</v>
      </c>
      <c r="E19" s="4">
        <f>E41</f>
        <v>0</v>
      </c>
      <c r="F19" s="4">
        <f>F41</f>
        <v>0</v>
      </c>
    </row>
    <row r="20">
      <c r="A20" t="inlineStr">
        <is>
          <t>Inventory</t>
        </is>
      </c>
      <c r="B20" s="4">
        <f>'Working Capital Schedule'!B9</f>
        <v>0</v>
      </c>
      <c r="C20" s="4">
        <f>'Working Capital Schedule'!C9</f>
        <v>0</v>
      </c>
      <c r="D20" s="4">
        <f>'Working Capital Schedule'!D9</f>
        <v>0</v>
      </c>
      <c r="E20" s="4">
        <f>'Working Capital Schedule'!E9</f>
        <v>0</v>
      </c>
      <c r="F20" s="4">
        <f>'Working Capital Schedule'!F9</f>
        <v>0</v>
      </c>
    </row>
    <row r="21">
      <c r="A21" t="inlineStr">
        <is>
          <t>PPE</t>
        </is>
      </c>
      <c r="B21" s="4">
        <f>'Working Capital Schedule'!B10</f>
        <v>0</v>
      </c>
      <c r="C21" s="4">
        <f>'Working Capital Schedule'!C10</f>
        <v>0</v>
      </c>
      <c r="D21" s="4">
        <f>'Working Capital Schedule'!D10</f>
        <v>0</v>
      </c>
      <c r="E21" s="4">
        <f>'Working Capital Schedule'!E10</f>
        <v>0</v>
      </c>
      <c r="F21" s="4">
        <f>'Working Capital Schedule'!F10</f>
        <v>0</v>
      </c>
    </row>
    <row r="22">
      <c r="A22" t="inlineStr">
        <is>
          <t>Total Assets</t>
        </is>
      </c>
      <c r="B22" s="4">
        <f>'PPE Schedule'!B9</f>
        <v>0</v>
      </c>
      <c r="C22" s="4">
        <f>'PPE Schedule'!C9</f>
        <v>0</v>
      </c>
      <c r="D22" s="4">
        <f>'PPE Schedule'!D9</f>
        <v>0</v>
      </c>
      <c r="E22" s="4">
        <f>'PPE Schedule'!E9</f>
        <v>0</v>
      </c>
      <c r="F22" s="4">
        <f>'PPE Schedule'!F9</f>
        <v>0</v>
      </c>
    </row>
    <row r="23">
      <c r="A23" t="inlineStr">
        <is>
          <t>Accounts Payable</t>
        </is>
      </c>
      <c r="B23" s="4">
        <f>B19+B20+B21+B22+B44</f>
        <v>0</v>
      </c>
      <c r="C23" s="4">
        <f>C19+C20+C21+C22+C44</f>
        <v>0</v>
      </c>
      <c r="D23" s="4">
        <f>D19+D20+D21+D22+D44</f>
        <v>0</v>
      </c>
      <c r="E23" s="4">
        <f>E19+E20+E21+E22+E44</f>
        <v>0</v>
      </c>
      <c r="F23" s="4">
        <f>F19+F20+F21+F22+F44</f>
        <v>0</v>
      </c>
    </row>
    <row r="24">
      <c r="A24" t="inlineStr">
        <is>
          <t>Debt</t>
        </is>
      </c>
      <c r="B24" s="4">
        <f>'Working Capital Schedule'!B11</f>
        <v>0</v>
      </c>
      <c r="C24" s="4">
        <f>'Working Capital Schedule'!C11</f>
        <v>0</v>
      </c>
      <c r="D24" s="4">
        <f>'Working Capital Schedule'!D11</f>
        <v>0</v>
      </c>
      <c r="E24" s="4">
        <f>'Working Capital Schedule'!E11</f>
        <v>0</v>
      </c>
      <c r="F24" s="4">
        <f>'Working Capital Schedule'!F11</f>
        <v>0</v>
      </c>
    </row>
    <row r="25">
      <c r="A25" t="inlineStr">
        <is>
          <t>Equity</t>
        </is>
      </c>
      <c r="B25" s="4">
        <f>'Debt Schedule'!B11</f>
        <v>0</v>
      </c>
      <c r="C25" s="4">
        <f>'Debt Schedule'!C11</f>
        <v>0</v>
      </c>
      <c r="D25" s="4">
        <f>'Debt Schedule'!D11</f>
        <v>0</v>
      </c>
      <c r="E25" s="4">
        <f>'Debt Schedule'!E11</f>
        <v>0</v>
      </c>
      <c r="F25" s="4">
        <f>'Debt Schedule'!F11</f>
        <v>0</v>
      </c>
    </row>
    <row r="26">
      <c r="A26" t="inlineStr">
        <is>
          <t>Total Liabilities + Equity</t>
        </is>
      </c>
      <c r="B26" s="4">
        <f>'Historical Financials'!D21+B15</f>
        <v>0</v>
      </c>
      <c r="C26" s="4">
        <f>B26+C15</f>
        <v>0</v>
      </c>
      <c r="D26" s="4">
        <f>C26+D15</f>
        <v>0</v>
      </c>
      <c r="E26" s="4">
        <f>D26+E15</f>
        <v>0</v>
      </c>
      <c r="F26" s="4">
        <f>E26+F15</f>
        <v>0</v>
      </c>
    </row>
    <row r="27">
      <c r="A27" t="inlineStr">
        <is>
          <t>Balance Check</t>
        </is>
      </c>
      <c r="B27" s="4">
        <f>B24+B25+B26+B45</f>
        <v>0</v>
      </c>
      <c r="C27" s="4">
        <f>C24+C25+C26+C45</f>
        <v>0</v>
      </c>
      <c r="D27" s="4">
        <f>D24+D25+D26+D45</f>
        <v>0</v>
      </c>
      <c r="E27" s="4">
        <f>E24+E25+E26+E45</f>
        <v>0</v>
      </c>
      <c r="F27" s="4">
        <f>F24+F25+F26+F45</f>
        <v>0</v>
      </c>
    </row>
    <row r="28">
      <c r="A28" t="inlineStr">
        <is>
          <t/>
        </is>
      </c>
      <c r="B28" s="4">
        <f>B23-B27</f>
        <v>0</v>
      </c>
      <c r="C28" s="4">
        <f>C23-C27</f>
        <v>0</v>
      </c>
      <c r="D28" s="4">
        <f>D23-D27</f>
        <v>0</v>
      </c>
      <c r="E28" s="4">
        <f>E23-E27</f>
        <v>0</v>
      </c>
      <c r="F28" s="4">
        <f>F23-F27</f>
        <v>0</v>
      </c>
    </row>
    <row r="29">
      <c r="A29" t="inlineStr" s="3">
        <is>
          <t>Cash Flow Statement</t>
        </is>
      </c>
    </row>
    <row r="30">
      <c r="A30" t="inlineStr">
        <is>
          <t>Net Income</t>
        </is>
      </c>
    </row>
    <row r="31">
      <c r="A31" t="inlineStr">
        <is>
          <t>Add: Depreciation</t>
        </is>
      </c>
      <c r="B31" s="4">
        <f>B15</f>
        <v>0</v>
      </c>
      <c r="C31" s="4">
        <f>C15</f>
        <v>0</v>
      </c>
      <c r="D31" s="4">
        <f>D15</f>
        <v>0</v>
      </c>
      <c r="E31" s="4">
        <f>E15</f>
        <v>0</v>
      </c>
      <c r="F31" s="4">
        <f>F15</f>
        <v>0</v>
      </c>
    </row>
    <row r="32">
      <c r="A32" t="inlineStr">
        <is>
          <t>Less: Change in NWC</t>
        </is>
      </c>
      <c r="B32" s="4">
        <f>B10</f>
        <v>0</v>
      </c>
      <c r="C32" s="4">
        <f>C10</f>
        <v>0</v>
      </c>
      <c r="D32" s="4">
        <f>D10</f>
        <v>0</v>
      </c>
      <c r="E32" s="4">
        <f>E10</f>
        <v>0</v>
      </c>
      <c r="F32" s="4">
        <f>F10</f>
        <v>0</v>
      </c>
    </row>
    <row r="33">
      <c r="A33" t="inlineStr">
        <is>
          <t>Cash from Operations</t>
        </is>
      </c>
      <c r="B33" s="4">
        <f>'Working Capital Schedule'!B13</f>
        <v>0</v>
      </c>
      <c r="C33" s="4">
        <f>'Working Capital Schedule'!C13</f>
        <v>0</v>
      </c>
      <c r="D33" s="4">
        <f>'Working Capital Schedule'!D13</f>
        <v>0</v>
      </c>
      <c r="E33" s="4">
        <f>'Working Capital Schedule'!E13</f>
        <v>0</v>
      </c>
      <c r="F33" s="4">
        <f>'Working Capital Schedule'!F13</f>
        <v>0</v>
      </c>
    </row>
    <row r="34">
      <c r="A34" t="inlineStr">
        <is>
          <t>Capex</t>
        </is>
      </c>
      <c r="B34" s="4">
        <f>B31+B32-B33</f>
        <v>0</v>
      </c>
      <c r="C34" s="4">
        <f>C31+C32-C33</f>
        <v>0</v>
      </c>
      <c r="D34" s="4">
        <f>D31+D32-D33</f>
        <v>0</v>
      </c>
      <c r="E34" s="4">
        <f>E31+E32-E33</f>
        <v>0</v>
      </c>
      <c r="F34" s="4">
        <f>F31+F32-F33</f>
        <v>0</v>
      </c>
    </row>
    <row r="35">
      <c r="A35" t="inlineStr">
        <is>
          <t>Cash from Investing</t>
        </is>
      </c>
      <c r="B35" s="4">
        <f>-'PPE Schedule'!B6</f>
        <v>0</v>
      </c>
      <c r="C35" s="4">
        <f>-'PPE Schedule'!C6</f>
        <v>0</v>
      </c>
      <c r="D35" s="4">
        <f>-'PPE Schedule'!D6</f>
        <v>0</v>
      </c>
      <c r="E35" s="4">
        <f>-'PPE Schedule'!E6</f>
        <v>0</v>
      </c>
      <c r="F35" s="4">
        <f>-'PPE Schedule'!F6</f>
        <v>0</v>
      </c>
    </row>
    <row r="36">
      <c r="A36" t="inlineStr">
        <is>
          <t>Debt Issued / (Repaid)</t>
        </is>
      </c>
      <c r="B36" s="4">
        <f>B35</f>
        <v>0</v>
      </c>
      <c r="C36" s="4">
        <f>C35</f>
        <v>0</v>
      </c>
      <c r="D36" s="4">
        <f>D35</f>
        <v>0</v>
      </c>
      <c r="E36" s="4">
        <f>E35</f>
        <v>0</v>
      </c>
      <c r="F36" s="4">
        <f>F35</f>
        <v>0</v>
      </c>
    </row>
    <row r="37">
      <c r="A37" t="inlineStr">
        <is>
          <t>Cash from Financing</t>
        </is>
      </c>
      <c r="B37" s="4">
        <f>'Debt Schedule'!B10</f>
        <v>0</v>
      </c>
      <c r="C37" s="4">
        <f>'Debt Schedule'!C10</f>
        <v>0</v>
      </c>
      <c r="D37" s="4">
        <f>'Debt Schedule'!D10</f>
        <v>0</v>
      </c>
      <c r="E37" s="4">
        <f>'Debt Schedule'!E10</f>
        <v>0</v>
      </c>
      <c r="F37" s="4">
        <f>'Debt Schedule'!F10</f>
        <v>0</v>
      </c>
    </row>
    <row r="38">
      <c r="A38" t="inlineStr">
        <is>
          <t>Net Change in Cash</t>
        </is>
      </c>
      <c r="B38" s="4">
        <f>B37</f>
        <v>0</v>
      </c>
      <c r="C38" s="4">
        <f>C37</f>
        <v>0</v>
      </c>
      <c r="D38" s="4">
        <f>D37</f>
        <v>0</v>
      </c>
      <c r="E38" s="4">
        <f>E37</f>
        <v>0</v>
      </c>
      <c r="F38" s="4">
        <f>F37</f>
        <v>0</v>
      </c>
    </row>
    <row r="39">
      <c r="A39" t="inlineStr">
        <is>
          <t>Beginning Cash</t>
        </is>
      </c>
      <c r="B39" s="4">
        <f>B34+B36+B38</f>
        <v>0</v>
      </c>
      <c r="C39" s="4">
        <f>C34+C36+C38</f>
        <v>0</v>
      </c>
      <c r="D39" s="4">
        <f>D34+D36+D38</f>
        <v>0</v>
      </c>
      <c r="E39" s="4">
        <f>E34+E36+E38</f>
        <v>0</v>
      </c>
      <c r="F39" s="4">
        <f>F34+F36+F38</f>
        <v>0</v>
      </c>
    </row>
    <row r="40">
      <c r="A40" t="inlineStr">
        <is>
          <t>Ending Cash</t>
        </is>
      </c>
      <c r="B40" s="4">
        <f>'Historical Financials'!D14</f>
        <v>0</v>
      </c>
      <c r="C40" s="4">
        <f>B41</f>
        <v>0</v>
      </c>
      <c r="D40" s="4">
        <f>C41</f>
        <v>0</v>
      </c>
      <c r="E40" s="4">
        <f>D41</f>
        <v>0</v>
      </c>
      <c r="F40" s="4">
        <f>E41</f>
        <v>0</v>
      </c>
    </row>
    <row r="41">
      <c r="A41" t="inlineStr">
        <is>
          <t/>
        </is>
      </c>
      <c r="B41" s="4">
        <f>B40+B39</f>
        <v>0</v>
      </c>
      <c r="C41" s="4">
        <f>C40+C39</f>
        <v>0</v>
      </c>
      <c r="D41" s="4">
        <f>D40+D39</f>
        <v>0</v>
      </c>
      <c r="E41" s="4">
        <f>E40+E39</f>
        <v>0</v>
      </c>
      <c r="F41" s="4">
        <f>F40+F39</f>
        <v>0</v>
      </c>
    </row>
    <row r="42">
      <c r="A42" t="inlineStr">
        <is>
          <t>Model Support</t>
        </is>
      </c>
    </row>
    <row r="43">
      <c r="A43" t="inlineStr">
        <is>
          <t>Other Assets (Support)</t>
        </is>
      </c>
    </row>
    <row r="44">
      <c r="A44" t="inlineStr">
        <is>
          <t>Other Liabilities (Support)</t>
        </is>
      </c>
      <c r="B44" s="4">
        <f>B5*INDEX(Assumptions!$B$31:$F$31,1,1)</f>
        <v>0</v>
      </c>
      <c r="C44" s="4">
        <f>C5*INDEX(Assumptions!$B$31:$F$31,1,2)</f>
        <v>0</v>
      </c>
      <c r="D44" s="4">
        <f>D5*INDEX(Assumptions!$B$31:$F$31,1,3)</f>
        <v>0</v>
      </c>
      <c r="E44" s="4">
        <f>E5*INDEX(Assumptions!$B$31:$F$31,1,4)</f>
        <v>0</v>
      </c>
      <c r="F44" s="4">
        <f>F5*INDEX(Assumptions!$B$31:$F$31,1,5)</f>
        <v>0</v>
      </c>
    </row>
    <row r="45">
      <c r="B45" s="4">
        <f>B5*INDEX(Assumptions!$B$32:$F$32,1,1)</f>
        <v>0</v>
      </c>
      <c r="C45" s="4">
        <f>C5*INDEX(Assumptions!$B$32:$F$32,1,2)</f>
        <v>0</v>
      </c>
      <c r="D45" s="4">
        <f>D5*INDEX(Assumptions!$B$32:$F$32,1,3)</f>
        <v>0</v>
      </c>
      <c r="E45" s="4">
        <f>E5*INDEX(Assumptions!$B$32:$F$32,1,4)</f>
        <v>0</v>
      </c>
      <c r="F45" s="4">
        <f>F5*INDEX(Assumptions!$B$32:$F$32,1,5)</f>
        <v>0</v>
      </c>
    </row>
  </sheetData>
</worksheet>
</file>

<file path=xl/worksheets/sheet8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>Ratio Dashboard</t>
        </is>
      </c>
    </row>
    <row r="2">
      <c r="A2" t="inlineStr" s="7">
        <is>
          <t>Scenario</t>
        </is>
      </c>
      <c r="B2" s="7">
        <f>'Control Panel'!B3</f>
        <v>0</v>
      </c>
    </row>
    <row r="4">
      <c r="A4" t="inlineStr" s="2">
        <is>
          <t>Metric</t>
        </is>
      </c>
      <c r="B4" t="inlineStr" s="2">
        <is>
          <t>FY2026E</t>
        </is>
      </c>
      <c r="C4" t="inlineStr" s="2">
        <is>
          <t>FY2027E</t>
        </is>
      </c>
      <c r="D4" t="inlineStr" s="2">
        <is>
          <t>FY2028E</t>
        </is>
      </c>
      <c r="E4" t="inlineStr" s="2">
        <is>
          <t>FY2029E</t>
        </is>
      </c>
      <c r="F4" t="inlineStr" s="2">
        <is>
          <t>FY2030E</t>
        </is>
      </c>
    </row>
    <row r="5">
      <c r="A5" t="inlineStr">
        <is>
          <t>EBITDA Margin</t>
        </is>
      </c>
      <c r="B5" s="5">
        <f>'Projection Model'!B9/'Projection Model'!B5</f>
        <v>0</v>
      </c>
      <c r="C5" s="5">
        <f>'Projection Model'!C9/'Projection Model'!C5</f>
        <v>0</v>
      </c>
      <c r="D5" s="5">
        <f>'Projection Model'!D9/'Projection Model'!D5</f>
        <v>0</v>
      </c>
      <c r="E5" s="5">
        <f>'Projection Model'!E9/'Projection Model'!E5</f>
        <v>0</v>
      </c>
      <c r="F5" s="5">
        <f>'Projection Model'!F9/'Projection Model'!F5</f>
        <v>0</v>
      </c>
    </row>
    <row r="6">
      <c r="A6" t="inlineStr">
        <is>
          <t>ROE</t>
        </is>
      </c>
      <c r="B6" s="5">
        <f>'Projection Model'!B15/AVERAGE('Historical Financials'!D21,'Projection Model'!B26)</f>
        <v>0</v>
      </c>
      <c r="C6" s="5">
        <f>'Projection Model'!C15/AVERAGE('Projection Model'!B26,'Projection Model'!C26)</f>
        <v>0</v>
      </c>
      <c r="D6" s="5">
        <f>'Projection Model'!D15/AVERAGE('Projection Model'!C26,'Projection Model'!D26)</f>
        <v>0</v>
      </c>
      <c r="E6" s="5">
        <f>'Projection Model'!E15/AVERAGE('Projection Model'!D26,'Projection Model'!E26)</f>
        <v>0</v>
      </c>
      <c r="F6" s="5">
        <f>'Projection Model'!F15/AVERAGE('Projection Model'!E26,'Projection Model'!F26)</f>
        <v>0</v>
      </c>
    </row>
    <row r="7">
      <c r="A7" t="inlineStr">
        <is>
          <t>ROCE</t>
        </is>
      </c>
      <c r="B7" s="5">
        <f>'Projection Model'!B11*(1-INDEX(Assumptions!$B$26:$F$26,1,1))/AVERAGE(('Historical Financials'!D21+'Historical Financials'!D20-'Historical Financials'!D14),('Projection Model'!B26+'Projection Model'!B25-'Projection Model'!B19))</f>
        <v>0</v>
      </c>
      <c r="C7" s="5">
        <f>'Projection Model'!C11*(1-INDEX(Assumptions!$B$26:$F$26,1,2))/AVERAGE(('Projection Model'!B26+'Projection Model'!B25-'Projection Model'!B19),('Projection Model'!C26+'Projection Model'!C25-'Projection Model'!C19))</f>
        <v>0</v>
      </c>
      <c r="D7" s="5">
        <f>'Projection Model'!D11*(1-INDEX(Assumptions!$B$26:$F$26,1,3))/AVERAGE(('Projection Model'!C26+'Projection Model'!C25-'Projection Model'!C19),('Projection Model'!D26+'Projection Model'!D25-'Projection Model'!D19))</f>
        <v>0</v>
      </c>
      <c r="E7" s="5">
        <f>'Projection Model'!E11*(1-INDEX(Assumptions!$B$26:$F$26,1,4))/AVERAGE(('Projection Model'!D26+'Projection Model'!D25-'Projection Model'!D19),('Projection Model'!E26+'Projection Model'!E25-'Projection Model'!E19))</f>
        <v>0</v>
      </c>
      <c r="F7" s="5">
        <f>'Projection Model'!F11*(1-INDEX(Assumptions!$B$26:$F$26,1,5))/AVERAGE(('Projection Model'!E26+'Projection Model'!E25-'Projection Model'!E19),('Projection Model'!F26+'Projection Model'!F25-'Projection Model'!F19))</f>
        <v>0</v>
      </c>
    </row>
    <row r="8">
      <c r="A8" t="inlineStr">
        <is>
          <t>Net Debt / EBITDA</t>
        </is>
      </c>
      <c r="B8" s="5">
        <f>('Projection Model'!B25-'Projection Model'!B19)/'Projection Model'!B9</f>
        <v>0</v>
      </c>
      <c r="C8" s="5">
        <f>('Projection Model'!C25-'Projection Model'!C19)/'Projection Model'!C9</f>
        <v>0</v>
      </c>
      <c r="D8" s="5">
        <f>('Projection Model'!D25-'Projection Model'!D19)/'Projection Model'!D9</f>
        <v>0</v>
      </c>
      <c r="E8" s="5">
        <f>('Projection Model'!E25-'Projection Model'!E19)/'Projection Model'!E9</f>
        <v>0</v>
      </c>
      <c r="F8" s="5">
        <f>('Projection Model'!F25-'Projection Model'!F19)/'Projection Model'!F9</f>
        <v>0</v>
      </c>
    </row>
    <row r="9">
      <c r="A9" t="inlineStr">
        <is>
          <t>Free Cash Flow</t>
        </is>
      </c>
      <c r="B9" s="4">
        <f>'Projection Model'!B34-'PPE Schedule'!B6</f>
        <v>0</v>
      </c>
      <c r="C9" s="4">
        <f>'Projection Model'!C34-'PPE Schedule'!C6</f>
        <v>0</v>
      </c>
      <c r="D9" s="4">
        <f>'Projection Model'!D34-'PPE Schedule'!D6</f>
        <v>0</v>
      </c>
      <c r="E9" s="4">
        <f>'Projection Model'!E34-'PPE Schedule'!E6</f>
        <v>0</v>
      </c>
      <c r="F9" s="4">
        <f>'Projection Model'!F34-'PPE Schedule'!F6</f>
        <v>0</v>
      </c>
    </row>
  </sheetData>
</worksheet>
</file>